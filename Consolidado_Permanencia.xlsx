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Ro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7" customWidth="1" min="3" max="3"/>
    <col width="22" customWidth="1" min="4" max="4"/>
    <col width="29" customWidth="1" min="5" max="5"/>
    <col width="22" customWidth="1" min="6" max="6"/>
    <col width="26" customWidth="1" min="7" max="7"/>
    <col width="57" customWidth="1" min="8" max="8"/>
    <col width="91" customWidth="1" min="9" max="9"/>
  </cols>
  <sheetData>
    <row r="1" ht="28" customHeight="1">
      <c r="A1" s="1" t="inlineStr">
        <is>
          <t>ID Empleado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Salario Base (COP)</t>
        </is>
      </c>
      <c r="E1" s="1" t="inlineStr">
        <is>
          <t>Antigüedad Actual (Meses)</t>
        </is>
      </c>
      <c r="F1" s="1" t="inlineStr">
        <is>
          <t>Satisfacción Clima</t>
        </is>
      </c>
      <c r="G1" s="1" t="inlineStr">
        <is>
          <t>Puntaje Prueba Técnica</t>
        </is>
      </c>
      <c r="H1" s="1" t="inlineStr">
        <is>
          <t>Permanencia Consolidada (Meses)</t>
        </is>
      </c>
      <c r="I1" s="1" t="inlineStr">
        <is>
          <t>Clasificación Final Permanencia</t>
        </is>
      </c>
    </row>
    <row r="2" ht="20" customHeight="1">
      <c r="A2" s="2" t="inlineStr">
        <is>
          <t>EMP-1001</t>
        </is>
      </c>
      <c r="B2" s="3" t="inlineStr">
        <is>
          <t>Carlos Pérez 1</t>
        </is>
      </c>
      <c r="C2" s="3" t="inlineStr">
        <is>
          <t>Analista de Soporte</t>
        </is>
      </c>
      <c r="D2" s="4" t="n">
        <v>2157455</v>
      </c>
      <c r="E2" s="2" t="n">
        <v>34</v>
      </c>
      <c r="F2" s="2" t="n">
        <v>7</v>
      </c>
      <c r="G2" s="2" t="n">
        <v>86</v>
      </c>
      <c r="H2" s="2">
        <f>ROUND(E2*0.3 + F2*2.5 + G2*0.2 + (D2/500000), 0)</f>
        <v/>
      </c>
      <c r="I2" s="2">
        <f>IF(H2&gt;=36, "Alto (&gt;3 Años)", IF(H2&gt;=18, "Medio (1.5 - 3 Años)", "Bajo (&lt;1.5 Años)"))</f>
        <v/>
      </c>
    </row>
    <row r="3" ht="20" customHeight="1">
      <c r="A3" s="5" t="inlineStr">
        <is>
          <t>EMP-1002</t>
        </is>
      </c>
      <c r="B3" s="6" t="inlineStr">
        <is>
          <t>Ana María Gómez 2</t>
        </is>
      </c>
      <c r="C3" s="6" t="inlineStr">
        <is>
          <t>Desarrollador Junior</t>
        </is>
      </c>
      <c r="D3" s="7" t="n">
        <v>3471013</v>
      </c>
      <c r="E3" s="5" t="n">
        <v>27</v>
      </c>
      <c r="F3" s="5" t="n">
        <v>10</v>
      </c>
      <c r="G3" s="5" t="n">
        <v>78</v>
      </c>
      <c r="H3" s="5">
        <f>ROUND(E3*0.3 + F3*2.5 + G3*0.2 + (D3/500000), 0)</f>
        <v/>
      </c>
      <c r="I3" s="5">
        <f>IF(H3&gt;=36, "Alto (&gt;3 Años)", IF(H3&gt;=18, "Medio (1.5 - 3 Años)", "Bajo (&lt;1.5 Años)"))</f>
        <v/>
      </c>
    </row>
    <row r="4" ht="20" customHeight="1">
      <c r="A4" s="2" t="inlineStr">
        <is>
          <t>EMP-1003</t>
        </is>
      </c>
      <c r="B4" s="3" t="inlineStr">
        <is>
          <t>Juan Esteban Roa 3</t>
        </is>
      </c>
      <c r="C4" s="3" t="inlineStr">
        <is>
          <t>Desarrollador Senior</t>
        </is>
      </c>
      <c r="D4" s="4" t="n">
        <v>6890671</v>
      </c>
      <c r="E4" s="2" t="n">
        <v>10</v>
      </c>
      <c r="F4" s="2" t="n">
        <v>6</v>
      </c>
      <c r="G4" s="2" t="n">
        <v>86</v>
      </c>
      <c r="H4" s="2">
        <f>ROUND(E4*0.3 + F4*2.5 + G4*0.2 + (D4/500000), 0)</f>
        <v/>
      </c>
      <c r="I4" s="2">
        <f>IF(H4&gt;=36, "Alto (&gt;3 Años)", IF(H4&gt;=18, "Medio (1.5 - 3 Años)", "Bajo (&lt;1.5 Años)"))</f>
        <v/>
      </c>
    </row>
    <row r="5" ht="20" customHeight="1">
      <c r="A5" s="5" t="inlineStr">
        <is>
          <t>EMP-1004</t>
        </is>
      </c>
      <c r="B5" s="6" t="inlineStr">
        <is>
          <t>Laura Sofía Torres 4</t>
        </is>
      </c>
      <c r="C5" s="6" t="inlineStr">
        <is>
          <t>Especialista RRHH</t>
        </is>
      </c>
      <c r="D5" s="7" t="n">
        <v>3048614</v>
      </c>
      <c r="E5" s="5" t="n">
        <v>26</v>
      </c>
      <c r="F5" s="5" t="n">
        <v>10</v>
      </c>
      <c r="G5" s="5" t="n">
        <v>71</v>
      </c>
      <c r="H5" s="5">
        <f>ROUND(E5*0.3 + F5*2.5 + G5*0.2 + (D5/500000), 0)</f>
        <v/>
      </c>
      <c r="I5" s="5">
        <f>IF(H5&gt;=36, "Alto (&gt;3 Años)", IF(H5&gt;=18, "Medio (1.5 - 3 Años)", "Bajo (&lt;1.5 Años)"))</f>
        <v/>
      </c>
    </row>
    <row r="6" ht="20" customHeight="1">
      <c r="A6" s="2" t="inlineStr">
        <is>
          <t>EMP-1005</t>
        </is>
      </c>
      <c r="B6" s="3" t="inlineStr">
        <is>
          <t>Andrés Felipe Martínez 5</t>
        </is>
      </c>
      <c r="C6" s="3" t="inlineStr">
        <is>
          <t>Contador</t>
        </is>
      </c>
      <c r="D6" s="4" t="n">
        <v>4322707</v>
      </c>
      <c r="E6" s="2" t="n">
        <v>38</v>
      </c>
      <c r="F6" s="2" t="n">
        <v>7</v>
      </c>
      <c r="G6" s="2" t="n">
        <v>85</v>
      </c>
      <c r="H6" s="2">
        <f>ROUND(E6*0.3 + F6*2.5 + G6*0.2 + (D6/500000), 0)</f>
        <v/>
      </c>
      <c r="I6" s="2">
        <f>IF(H6&gt;=36, "Alto (&gt;3 Años)", IF(H6&gt;=18, "Medio (1.5 - 3 Años)", "Bajo (&lt;1.5 Años)"))</f>
        <v/>
      </c>
    </row>
    <row r="7" ht="20" customHeight="1">
      <c r="A7" s="5" t="inlineStr">
        <is>
          <t>EMP-1006</t>
        </is>
      </c>
      <c r="B7" s="6" t="inlineStr">
        <is>
          <t>María Fernanda Díaz 6</t>
        </is>
      </c>
      <c r="C7" s="6" t="inlineStr">
        <is>
          <t>Ejecutivo de Ventas</t>
        </is>
      </c>
      <c r="D7" s="7" t="n">
        <v>2487276</v>
      </c>
      <c r="E7" s="5" t="n">
        <v>55</v>
      </c>
      <c r="F7" s="5" t="n">
        <v>5</v>
      </c>
      <c r="G7" s="5" t="n">
        <v>79</v>
      </c>
      <c r="H7" s="5">
        <f>ROUND(E7*0.3 + F7*2.5 + G7*0.2 + (D7/500000), 0)</f>
        <v/>
      </c>
      <c r="I7" s="5">
        <f>IF(H7&gt;=36, "Alto (&gt;3 Años)", IF(H7&gt;=18, "Medio (1.5 - 3 Años)", "Bajo (&lt;1.5 Años)"))</f>
        <v/>
      </c>
    </row>
    <row r="8" ht="20" customHeight="1">
      <c r="A8" s="2" t="inlineStr">
        <is>
          <t>EMP-1007</t>
        </is>
      </c>
      <c r="B8" s="3" t="inlineStr">
        <is>
          <t>David Santiago Vargas 7</t>
        </is>
      </c>
      <c r="C8" s="3" t="inlineStr">
        <is>
          <t>Gerente de Proyecto</t>
        </is>
      </c>
      <c r="D8" s="4" t="n">
        <v>7450425</v>
      </c>
      <c r="E8" s="2" t="n">
        <v>15</v>
      </c>
      <c r="F8" s="2" t="n">
        <v>8</v>
      </c>
      <c r="G8" s="2" t="n">
        <v>97</v>
      </c>
      <c r="H8" s="2">
        <f>ROUND(E8*0.3 + F8*2.5 + G8*0.2 + (D8/500000), 0)</f>
        <v/>
      </c>
      <c r="I8" s="2">
        <f>IF(H8&gt;=36, "Alto (&gt;3 Años)", IF(H8&gt;=18, "Medio (1.5 - 3 Años)", "Bajo (&lt;1.5 Años)"))</f>
        <v/>
      </c>
    </row>
    <row r="9" ht="20" customHeight="1">
      <c r="A9" s="5" t="inlineStr">
        <is>
          <t>EMP-1008</t>
        </is>
      </c>
      <c r="B9" s="6" t="inlineStr">
        <is>
          <t>Valentina Morales 8</t>
        </is>
      </c>
      <c r="C9" s="6" t="inlineStr">
        <is>
          <t>Auxiliar Administrativo</t>
        </is>
      </c>
      <c r="D9" s="7" t="n">
        <v>1718065</v>
      </c>
      <c r="E9" s="5" t="n">
        <v>43</v>
      </c>
      <c r="F9" s="5" t="n">
        <v>7</v>
      </c>
      <c r="G9" s="5" t="n">
        <v>89</v>
      </c>
      <c r="H9" s="5">
        <f>ROUND(E9*0.3 + F9*2.5 + G9*0.2 + (D9/500000), 0)</f>
        <v/>
      </c>
      <c r="I9" s="5">
        <f>IF(H9&gt;=36, "Alto (&gt;3 Años)", IF(H9&gt;=18, "Medio (1.5 - 3 Años)", "Bajo (&lt;1.5 Años)"))</f>
        <v/>
      </c>
    </row>
    <row r="10" ht="20" customHeight="1">
      <c r="A10" s="2" t="inlineStr">
        <is>
          <t>EMP-1009</t>
        </is>
      </c>
      <c r="B10" s="3" t="inlineStr">
        <is>
          <t>Mateo Restrepo 9</t>
        </is>
      </c>
      <c r="C10" s="3" t="inlineStr">
        <is>
          <t>Diseñador UX/UI</t>
        </is>
      </c>
      <c r="D10" s="4" t="n">
        <v>3831623</v>
      </c>
      <c r="E10" s="2" t="n">
        <v>30</v>
      </c>
      <c r="F10" s="2" t="n">
        <v>10</v>
      </c>
      <c r="G10" s="2" t="n">
        <v>73</v>
      </c>
      <c r="H10" s="2">
        <f>ROUND(E10*0.3 + F10*2.5 + G10*0.2 + (D10/500000), 0)</f>
        <v/>
      </c>
      <c r="I10" s="2">
        <f>IF(H10&gt;=36, "Alto (&gt;3 Años)", IF(H10&gt;=18, "Medio (1.5 - 3 Años)", "Bajo (&lt;1.5 Años)"))</f>
        <v/>
      </c>
    </row>
    <row r="11" ht="20" customHeight="1">
      <c r="A11" s="5" t="inlineStr">
        <is>
          <t>EMP-1010</t>
        </is>
      </c>
      <c r="B11" s="6" t="inlineStr">
        <is>
          <t>Camila Andrea Silva 10</t>
        </is>
      </c>
      <c r="C11" s="6" t="inlineStr">
        <is>
          <t>DevOps Engineer</t>
        </is>
      </c>
      <c r="D11" s="7" t="n">
        <v>6268002</v>
      </c>
      <c r="E11" s="5" t="n">
        <v>32</v>
      </c>
      <c r="F11" s="5" t="n">
        <v>10</v>
      </c>
      <c r="G11" s="5" t="n">
        <v>70</v>
      </c>
      <c r="H11" s="5">
        <f>ROUND(E11*0.3 + F11*2.5 + G11*0.2 + (D11/500000), 0)</f>
        <v/>
      </c>
      <c r="I11" s="5">
        <f>IF(H11&gt;=36, "Alto (&gt;3 Años)", IF(H11&gt;=18, "Medio (1.5 - 3 Años)", "Bajo (&lt;1.5 Años)"))</f>
        <v/>
      </c>
    </row>
    <row r="12" ht="20" customHeight="1">
      <c r="A12" s="2" t="inlineStr">
        <is>
          <t>EMP-1011</t>
        </is>
      </c>
      <c r="B12" s="3" t="inlineStr">
        <is>
          <t>Alejandro Castro 11</t>
        </is>
      </c>
      <c r="C12" s="3" t="inlineStr">
        <is>
          <t>Analista de Soporte</t>
        </is>
      </c>
      <c r="D12" s="4" t="n">
        <v>2345427</v>
      </c>
      <c r="E12" s="2" t="n">
        <v>7</v>
      </c>
      <c r="F12" s="2" t="n">
        <v>7</v>
      </c>
      <c r="G12" s="2" t="n">
        <v>92</v>
      </c>
      <c r="H12" s="2">
        <f>ROUND(E12*0.3 + F12*2.5 + G12*0.2 + (D12/500000), 0)</f>
        <v/>
      </c>
      <c r="I12" s="2">
        <f>IF(H12&gt;=36, "Alto (&gt;3 Años)", IF(H12&gt;=18, "Medio (1.5 - 3 Años)", "Bajo (&lt;1.5 Años)"))</f>
        <v/>
      </c>
    </row>
    <row r="13" ht="20" customHeight="1">
      <c r="A13" s="5" t="inlineStr">
        <is>
          <t>EMP-1012</t>
        </is>
      </c>
      <c r="B13" s="6" t="inlineStr">
        <is>
          <t>Daniela Vargas 12</t>
        </is>
      </c>
      <c r="C13" s="6" t="inlineStr">
        <is>
          <t>Desarrollador Junior</t>
        </is>
      </c>
      <c r="D13" s="7" t="n">
        <v>3648050</v>
      </c>
      <c r="E13" s="5" t="n">
        <v>42</v>
      </c>
      <c r="F13" s="5" t="n">
        <v>9</v>
      </c>
      <c r="G13" s="5" t="n">
        <v>81</v>
      </c>
      <c r="H13" s="5">
        <f>ROUND(E13*0.3 + F13*2.5 + G13*0.2 + (D13/500000), 0)</f>
        <v/>
      </c>
      <c r="I13" s="5">
        <f>IF(H13&gt;=36, "Alto (&gt;3 Años)", IF(H13&gt;=18, "Medio (1.5 - 3 Años)", "Bajo (&lt;1.5 Años)"))</f>
        <v/>
      </c>
    </row>
    <row r="14" ht="20" customHeight="1">
      <c r="A14" s="2" t="inlineStr">
        <is>
          <t>EMP-1013</t>
        </is>
      </c>
      <c r="B14" s="3" t="inlineStr">
        <is>
          <t>Sebastián Morales 13</t>
        </is>
      </c>
      <c r="C14" s="3" t="inlineStr">
        <is>
          <t>Desarrollador Senior</t>
        </is>
      </c>
      <c r="D14" s="4" t="n">
        <v>6648961</v>
      </c>
      <c r="E14" s="2" t="n">
        <v>54</v>
      </c>
      <c r="F14" s="2" t="n">
        <v>6</v>
      </c>
      <c r="G14" s="2" t="n">
        <v>79</v>
      </c>
      <c r="H14" s="2">
        <f>ROUND(E14*0.3 + F14*2.5 + G14*0.2 + (D14/500000), 0)</f>
        <v/>
      </c>
      <c r="I14" s="2">
        <f>IF(H14&gt;=36, "Alto (&gt;3 Años)", IF(H14&gt;=18, "Medio (1.5 - 3 Años)", "Bajo (&lt;1.5 Años)"))</f>
        <v/>
      </c>
    </row>
    <row r="15" ht="20" customHeight="1">
      <c r="A15" s="5" t="inlineStr">
        <is>
          <t>EMP-1014</t>
        </is>
      </c>
      <c r="B15" s="6" t="inlineStr">
        <is>
          <t>Lucía Benítez 14</t>
        </is>
      </c>
      <c r="C15" s="6" t="inlineStr">
        <is>
          <t>Especialista RRHH</t>
        </is>
      </c>
      <c r="D15" s="7" t="n">
        <v>2817776</v>
      </c>
      <c r="E15" s="5" t="n">
        <v>53</v>
      </c>
      <c r="F15" s="5" t="n">
        <v>6</v>
      </c>
      <c r="G15" s="5" t="n">
        <v>69</v>
      </c>
      <c r="H15" s="5">
        <f>ROUND(E15*0.3 + F15*2.5 + G15*0.2 + (D15/500000), 0)</f>
        <v/>
      </c>
      <c r="I15" s="5">
        <f>IF(H15&gt;=36, "Alto (&gt;3 Años)", IF(H15&gt;=18, "Medio (1.5 - 3 Años)", "Bajo (&lt;1.5 Años)"))</f>
        <v/>
      </c>
    </row>
    <row r="16" ht="20" customHeight="1">
      <c r="A16" s="2" t="inlineStr">
        <is>
          <t>EMP-1015</t>
        </is>
      </c>
      <c r="B16" s="3" t="inlineStr">
        <is>
          <t>Santiago Ortiz 15</t>
        </is>
      </c>
      <c r="C16" s="3" t="inlineStr">
        <is>
          <t>Contador</t>
        </is>
      </c>
      <c r="D16" s="4" t="n">
        <v>4012805</v>
      </c>
      <c r="E16" s="2" t="n">
        <v>4</v>
      </c>
      <c r="F16" s="2" t="n">
        <v>6</v>
      </c>
      <c r="G16" s="2" t="n">
        <v>90</v>
      </c>
      <c r="H16" s="2">
        <f>ROUND(E16*0.3 + F16*2.5 + G16*0.2 + (D16/500000), 0)</f>
        <v/>
      </c>
      <c r="I16" s="2">
        <f>IF(H16&gt;=36, "Alto (&gt;3 Años)", IF(H16&gt;=18, "Medio (1.5 - 3 Años)", "Bajo (&lt;1.5 Años)"))</f>
        <v/>
      </c>
    </row>
    <row r="17" ht="20" customHeight="1">
      <c r="A17" s="5" t="inlineStr">
        <is>
          <t>EMP-1016</t>
        </is>
      </c>
      <c r="B17" s="6" t="inlineStr">
        <is>
          <t>Valeria Rojas 16</t>
        </is>
      </c>
      <c r="C17" s="6" t="inlineStr">
        <is>
          <t>Ejecutivo de Ventas</t>
        </is>
      </c>
      <c r="D17" s="7" t="n">
        <v>2520483</v>
      </c>
      <c r="E17" s="5" t="n">
        <v>56</v>
      </c>
      <c r="F17" s="5" t="n">
        <v>5</v>
      </c>
      <c r="G17" s="5" t="n">
        <v>89</v>
      </c>
      <c r="H17" s="5">
        <f>ROUND(E17*0.3 + F17*2.5 + G17*0.2 + (D17/500000), 0)</f>
        <v/>
      </c>
      <c r="I17" s="5">
        <f>IF(H17&gt;=36, "Alto (&gt;3 Años)", IF(H17&gt;=18, "Medio (1.5 - 3 Años)", "Bajo (&lt;1.5 Años)"))</f>
        <v/>
      </c>
    </row>
    <row r="18" ht="20" customHeight="1">
      <c r="A18" s="2" t="inlineStr">
        <is>
          <t>EMP-1017</t>
        </is>
      </c>
      <c r="B18" s="3" t="inlineStr">
        <is>
          <t>Carlos Pérez 17</t>
        </is>
      </c>
      <c r="C18" s="3" t="inlineStr">
        <is>
          <t>Gerente de Proyecto</t>
        </is>
      </c>
      <c r="D18" s="4" t="n">
        <v>7517286</v>
      </c>
      <c r="E18" s="2" t="n">
        <v>58</v>
      </c>
      <c r="F18" s="2" t="n">
        <v>10</v>
      </c>
      <c r="G18" s="2" t="n">
        <v>96</v>
      </c>
      <c r="H18" s="2">
        <f>ROUND(E18*0.3 + F18*2.5 + G18*0.2 + (D18/500000), 0)</f>
        <v/>
      </c>
      <c r="I18" s="2">
        <f>IF(H18&gt;=36, "Alto (&gt;3 Años)", IF(H18&gt;=18, "Medio (1.5 - 3 Años)", "Bajo (&lt;1.5 Años)"))</f>
        <v/>
      </c>
    </row>
    <row r="19" ht="20" customHeight="1">
      <c r="A19" s="5" t="inlineStr">
        <is>
          <t>EMP-1018</t>
        </is>
      </c>
      <c r="B19" s="6" t="inlineStr">
        <is>
          <t>Ana María Gómez 18</t>
        </is>
      </c>
      <c r="C19" s="6" t="inlineStr">
        <is>
          <t>Auxiliar Administrativo</t>
        </is>
      </c>
      <c r="D19" s="7" t="n">
        <v>1501940</v>
      </c>
      <c r="E19" s="5" t="n">
        <v>47</v>
      </c>
      <c r="F19" s="5" t="n">
        <v>10</v>
      </c>
      <c r="G19" s="5" t="n">
        <v>84</v>
      </c>
      <c r="H19" s="5">
        <f>ROUND(E19*0.3 + F19*2.5 + G19*0.2 + (D19/500000), 0)</f>
        <v/>
      </c>
      <c r="I19" s="5">
        <f>IF(H19&gt;=36, "Alto (&gt;3 Años)", IF(H19&gt;=18, "Medio (1.5 - 3 Años)", "Bajo (&lt;1.5 Años)"))</f>
        <v/>
      </c>
    </row>
    <row r="20" ht="20" customHeight="1">
      <c r="A20" s="2" t="inlineStr">
        <is>
          <t>EMP-1019</t>
        </is>
      </c>
      <c r="B20" s="3" t="inlineStr">
        <is>
          <t>Juan Esteban Roa 19</t>
        </is>
      </c>
      <c r="C20" s="3" t="inlineStr">
        <is>
          <t>Diseñador UX/UI</t>
        </is>
      </c>
      <c r="D20" s="4" t="n">
        <v>3859196</v>
      </c>
      <c r="E20" s="2" t="n">
        <v>27</v>
      </c>
      <c r="F20" s="2" t="n">
        <v>6</v>
      </c>
      <c r="G20" s="2" t="n">
        <v>69</v>
      </c>
      <c r="H20" s="2">
        <f>ROUND(E20*0.3 + F20*2.5 + G20*0.2 + (D20/500000), 0)</f>
        <v/>
      </c>
      <c r="I20" s="2">
        <f>IF(H20&gt;=36, "Alto (&gt;3 Años)", IF(H20&gt;=18, "Medio (1.5 - 3 Años)", "Bajo (&lt;1.5 Años)"))</f>
        <v/>
      </c>
    </row>
    <row r="21" ht="20" customHeight="1">
      <c r="A21" s="5" t="inlineStr">
        <is>
          <t>EMP-1020</t>
        </is>
      </c>
      <c r="B21" s="6" t="inlineStr">
        <is>
          <t>Laura Sofía Torres 20</t>
        </is>
      </c>
      <c r="C21" s="6" t="inlineStr">
        <is>
          <t>DevOps Engineer</t>
        </is>
      </c>
      <c r="D21" s="7" t="n">
        <v>6343963</v>
      </c>
      <c r="E21" s="5" t="n">
        <v>46</v>
      </c>
      <c r="F21" s="5" t="n">
        <v>5</v>
      </c>
      <c r="G21" s="5" t="n">
        <v>66</v>
      </c>
      <c r="H21" s="5">
        <f>ROUND(E21*0.3 + F21*2.5 + G21*0.2 + (D21/500000), 0)</f>
        <v/>
      </c>
      <c r="I21" s="5">
        <f>IF(H21&gt;=36, "Alto (&gt;3 Años)", IF(H21&gt;=18, "Medio (1.5 - 3 Años)", "Bajo (&lt;1.5 Años)"))</f>
        <v/>
      </c>
    </row>
    <row r="22" ht="20" customHeight="1">
      <c r="A22" s="2" t="inlineStr">
        <is>
          <t>EMP-1021</t>
        </is>
      </c>
      <c r="B22" s="3" t="inlineStr">
        <is>
          <t>Andrés Felipe Martínez 21</t>
        </is>
      </c>
      <c r="C22" s="3" t="inlineStr">
        <is>
          <t>Analista de Soporte</t>
        </is>
      </c>
      <c r="D22" s="4" t="n">
        <v>2408116</v>
      </c>
      <c r="E22" s="2" t="n">
        <v>29</v>
      </c>
      <c r="F22" s="2" t="n">
        <v>6</v>
      </c>
      <c r="G22" s="2" t="n">
        <v>71</v>
      </c>
      <c r="H22" s="2">
        <f>ROUND(E22*0.3 + F22*2.5 + G22*0.2 + (D22/500000), 0)</f>
        <v/>
      </c>
      <c r="I22" s="2">
        <f>IF(H22&gt;=36, "Alto (&gt;3 Años)", IF(H22&gt;=18, "Medio (1.5 - 3 Años)", "Bajo (&lt;1.5 Años)"))</f>
        <v/>
      </c>
    </row>
    <row r="23" ht="20" customHeight="1">
      <c r="A23" s="5" t="inlineStr">
        <is>
          <t>EMP-1022</t>
        </is>
      </c>
      <c r="B23" s="6" t="inlineStr">
        <is>
          <t>María Fernanda Díaz 22</t>
        </is>
      </c>
      <c r="C23" s="6" t="inlineStr">
        <is>
          <t>Desarrollador Junior</t>
        </is>
      </c>
      <c r="D23" s="7" t="n">
        <v>3721585</v>
      </c>
      <c r="E23" s="5" t="n">
        <v>46</v>
      </c>
      <c r="F23" s="5" t="n">
        <v>9</v>
      </c>
      <c r="G23" s="5" t="n">
        <v>89</v>
      </c>
      <c r="H23" s="5">
        <f>ROUND(E23*0.3 + F23*2.5 + G23*0.2 + (D23/500000), 0)</f>
        <v/>
      </c>
      <c r="I23" s="5">
        <f>IF(H23&gt;=36, "Alto (&gt;3 Años)", IF(H23&gt;=18, "Medio (1.5 - 3 Años)", "Bajo (&lt;1.5 Años)"))</f>
        <v/>
      </c>
    </row>
    <row r="24" ht="20" customHeight="1">
      <c r="A24" s="2" t="inlineStr">
        <is>
          <t>EMP-1023</t>
        </is>
      </c>
      <c r="B24" s="3" t="inlineStr">
        <is>
          <t>David Santiago Vargas 23</t>
        </is>
      </c>
      <c r="C24" s="3" t="inlineStr">
        <is>
          <t>Desarrollador Senior</t>
        </is>
      </c>
      <c r="D24" s="4" t="n">
        <v>6626328</v>
      </c>
      <c r="E24" s="2" t="n">
        <v>37</v>
      </c>
      <c r="F24" s="2" t="n">
        <v>6</v>
      </c>
      <c r="G24" s="2" t="n">
        <v>67</v>
      </c>
      <c r="H24" s="2">
        <f>ROUND(E24*0.3 + F24*2.5 + G24*0.2 + (D24/500000), 0)</f>
        <v/>
      </c>
      <c r="I24" s="2">
        <f>IF(H24&gt;=36, "Alto (&gt;3 Años)", IF(H24&gt;=18, "Medio (1.5 - 3 Años)", "Bajo (&lt;1.5 Años)"))</f>
        <v/>
      </c>
    </row>
    <row r="25" ht="20" customHeight="1">
      <c r="A25" s="5" t="inlineStr">
        <is>
          <t>EMP-1024</t>
        </is>
      </c>
      <c r="B25" s="6" t="inlineStr">
        <is>
          <t>Valentina Morales 24</t>
        </is>
      </c>
      <c r="C25" s="6" t="inlineStr">
        <is>
          <t>Especialista RRHH</t>
        </is>
      </c>
      <c r="D25" s="7" t="n">
        <v>2939317</v>
      </c>
      <c r="E25" s="5" t="n">
        <v>10</v>
      </c>
      <c r="F25" s="5" t="n">
        <v>8</v>
      </c>
      <c r="G25" s="5" t="n">
        <v>93</v>
      </c>
      <c r="H25" s="5">
        <f>ROUND(E25*0.3 + F25*2.5 + G25*0.2 + (D25/500000), 0)</f>
        <v/>
      </c>
      <c r="I25" s="5">
        <f>IF(H25&gt;=36, "Alto (&gt;3 Años)", IF(H25&gt;=18, "Medio (1.5 - 3 Años)", "Bajo (&lt;1.5 Años)"))</f>
        <v/>
      </c>
    </row>
    <row r="26" ht="20" customHeight="1">
      <c r="A26" s="2" t="inlineStr">
        <is>
          <t>EMP-1025</t>
        </is>
      </c>
      <c r="B26" s="3" t="inlineStr">
        <is>
          <t>Mateo Restrepo 25</t>
        </is>
      </c>
      <c r="C26" s="3" t="inlineStr">
        <is>
          <t>Contador</t>
        </is>
      </c>
      <c r="D26" s="4" t="n">
        <v>4293037</v>
      </c>
      <c r="E26" s="2" t="n">
        <v>40</v>
      </c>
      <c r="F26" s="2" t="n">
        <v>7</v>
      </c>
      <c r="G26" s="2" t="n">
        <v>88</v>
      </c>
      <c r="H26" s="2">
        <f>ROUND(E26*0.3 + F26*2.5 + G26*0.2 + (D26/500000), 0)</f>
        <v/>
      </c>
      <c r="I26" s="2">
        <f>IF(H26&gt;=36, "Alto (&gt;3 Años)", IF(H26&gt;=18, "Medio (1.5 - 3 Años)", "Bajo (&lt;1.5 Años)"))</f>
        <v/>
      </c>
    </row>
    <row r="27" ht="20" customHeight="1">
      <c r="A27" s="5" t="inlineStr">
        <is>
          <t>EMP-1026</t>
        </is>
      </c>
      <c r="B27" s="6" t="inlineStr">
        <is>
          <t>Camila Andrea Silva 26</t>
        </is>
      </c>
      <c r="C27" s="6" t="inlineStr">
        <is>
          <t>Ejecutivo de Ventas</t>
        </is>
      </c>
      <c r="D27" s="7" t="n">
        <v>2521206</v>
      </c>
      <c r="E27" s="5" t="n">
        <v>54</v>
      </c>
      <c r="F27" s="5" t="n">
        <v>10</v>
      </c>
      <c r="G27" s="5" t="n">
        <v>92</v>
      </c>
      <c r="H27" s="5">
        <f>ROUND(E27*0.3 + F27*2.5 + G27*0.2 + (D27/500000), 0)</f>
        <v/>
      </c>
      <c r="I27" s="5">
        <f>IF(H27&gt;=36, "Alto (&gt;3 Años)", IF(H27&gt;=18, "Medio (1.5 - 3 Años)", "Bajo (&lt;1.5 Años)"))</f>
        <v/>
      </c>
    </row>
    <row r="28" ht="20" customHeight="1">
      <c r="A28" s="2" t="inlineStr">
        <is>
          <t>EMP-1027</t>
        </is>
      </c>
      <c r="B28" s="3" t="inlineStr">
        <is>
          <t>Alejandro Castro 27</t>
        </is>
      </c>
      <c r="C28" s="3" t="inlineStr">
        <is>
          <t>Gerente de Proyecto</t>
        </is>
      </c>
      <c r="D28" s="4" t="n">
        <v>7523735</v>
      </c>
      <c r="E28" s="2" t="n">
        <v>55</v>
      </c>
      <c r="F28" s="2" t="n">
        <v>9</v>
      </c>
      <c r="G28" s="2" t="n">
        <v>88</v>
      </c>
      <c r="H28" s="2">
        <f>ROUND(E28*0.3 + F28*2.5 + G28*0.2 + (D28/500000), 0)</f>
        <v/>
      </c>
      <c r="I28" s="2">
        <f>IF(H28&gt;=36, "Alto (&gt;3 Años)", IF(H28&gt;=18, "Medio (1.5 - 3 Años)", "Bajo (&lt;1.5 Años)"))</f>
        <v/>
      </c>
    </row>
    <row r="29" ht="20" customHeight="1">
      <c r="A29" s="5" t="inlineStr">
        <is>
          <t>EMP-1028</t>
        </is>
      </c>
      <c r="B29" s="6" t="inlineStr">
        <is>
          <t>Daniela Vargas 28</t>
        </is>
      </c>
      <c r="C29" s="6" t="inlineStr">
        <is>
          <t>Auxiliar Administrativo</t>
        </is>
      </c>
      <c r="D29" s="7" t="n">
        <v>1870395</v>
      </c>
      <c r="E29" s="5" t="n">
        <v>12</v>
      </c>
      <c r="F29" s="5" t="n">
        <v>10</v>
      </c>
      <c r="G29" s="5" t="n">
        <v>90</v>
      </c>
      <c r="H29" s="5">
        <f>ROUND(E29*0.3 + F29*2.5 + G29*0.2 + (D29/500000), 0)</f>
        <v/>
      </c>
      <c r="I29" s="5">
        <f>IF(H29&gt;=36, "Alto (&gt;3 Años)", IF(H29&gt;=18, "Medio (1.5 - 3 Años)", "Bajo (&lt;1.5 Años)"))</f>
        <v/>
      </c>
    </row>
    <row r="30" ht="20" customHeight="1">
      <c r="A30" s="2" t="inlineStr">
        <is>
          <t>EMP-1029</t>
        </is>
      </c>
      <c r="B30" s="3" t="inlineStr">
        <is>
          <t>Sebastián Morales 29</t>
        </is>
      </c>
      <c r="C30" s="3" t="inlineStr">
        <is>
          <t>Diseñador UX/UI</t>
        </is>
      </c>
      <c r="D30" s="4" t="n">
        <v>3835966</v>
      </c>
      <c r="E30" s="2" t="n">
        <v>18</v>
      </c>
      <c r="F30" s="2" t="n">
        <v>6</v>
      </c>
      <c r="G30" s="2" t="n">
        <v>100</v>
      </c>
      <c r="H30" s="2">
        <f>ROUND(E30*0.3 + F30*2.5 + G30*0.2 + (D30/500000), 0)</f>
        <v/>
      </c>
      <c r="I30" s="2">
        <f>IF(H30&gt;=36, "Alto (&gt;3 Años)", IF(H30&gt;=18, "Medio (1.5 - 3 Años)", "Bajo (&lt;1.5 Años)"))</f>
        <v/>
      </c>
    </row>
    <row r="31" ht="20" customHeight="1">
      <c r="A31" s="5" t="inlineStr">
        <is>
          <t>EMP-1030</t>
        </is>
      </c>
      <c r="B31" s="6" t="inlineStr">
        <is>
          <t>Lucía Benítez 30</t>
        </is>
      </c>
      <c r="C31" s="6" t="inlineStr">
        <is>
          <t>DevOps Engineer</t>
        </is>
      </c>
      <c r="D31" s="7" t="n">
        <v>6145391</v>
      </c>
      <c r="E31" s="5" t="n">
        <v>51</v>
      </c>
      <c r="F31" s="5" t="n">
        <v>9</v>
      </c>
      <c r="G31" s="5" t="n">
        <v>91</v>
      </c>
      <c r="H31" s="5">
        <f>ROUND(E31*0.3 + F31*2.5 + G31*0.2 + (D31/500000), 0)</f>
        <v/>
      </c>
      <c r="I31" s="5">
        <f>IF(H31&gt;=36, "Alto (&gt;3 Años)", IF(H31&gt;=18, "Medio (1.5 - 3 Años)", "Bajo (&lt;1.5 Años)"))</f>
        <v/>
      </c>
    </row>
    <row r="32" ht="20" customHeight="1">
      <c r="A32" s="2" t="inlineStr">
        <is>
          <t>EMP-1031</t>
        </is>
      </c>
      <c r="B32" s="3" t="inlineStr">
        <is>
          <t>Santiago Ortiz 31</t>
        </is>
      </c>
      <c r="C32" s="3" t="inlineStr">
        <is>
          <t>Analista de Soporte</t>
        </is>
      </c>
      <c r="D32" s="4" t="n">
        <v>2328596</v>
      </c>
      <c r="E32" s="2" t="n">
        <v>17</v>
      </c>
      <c r="F32" s="2" t="n">
        <v>7</v>
      </c>
      <c r="G32" s="2" t="n">
        <v>88</v>
      </c>
      <c r="H32" s="2">
        <f>ROUND(E32*0.3 + F32*2.5 + G32*0.2 + (D32/500000), 0)</f>
        <v/>
      </c>
      <c r="I32" s="2">
        <f>IF(H32&gt;=36, "Alto (&gt;3 Años)", IF(H32&gt;=18, "Medio (1.5 - 3 Años)", "Bajo (&lt;1.5 Años)"))</f>
        <v/>
      </c>
    </row>
    <row r="33" ht="20" customHeight="1">
      <c r="A33" s="5" t="inlineStr">
        <is>
          <t>EMP-1032</t>
        </is>
      </c>
      <c r="B33" s="6" t="inlineStr">
        <is>
          <t>Valeria Rojas 32</t>
        </is>
      </c>
      <c r="C33" s="6" t="inlineStr">
        <is>
          <t>Desarrollador Junior</t>
        </is>
      </c>
      <c r="D33" s="7" t="n">
        <v>3340623</v>
      </c>
      <c r="E33" s="5" t="n">
        <v>47</v>
      </c>
      <c r="F33" s="5" t="n">
        <v>7</v>
      </c>
      <c r="G33" s="5" t="n">
        <v>75</v>
      </c>
      <c r="H33" s="5">
        <f>ROUND(E33*0.3 + F33*2.5 + G33*0.2 + (D33/500000), 0)</f>
        <v/>
      </c>
      <c r="I33" s="5">
        <f>IF(H33&gt;=36, "Alto (&gt;3 Años)", IF(H33&gt;=18, "Medio (1.5 - 3 Años)", "Bajo (&lt;1.5 Años)"))</f>
        <v/>
      </c>
    </row>
    <row r="34" ht="20" customHeight="1">
      <c r="A34" s="2" t="inlineStr">
        <is>
          <t>EMP-1033</t>
        </is>
      </c>
      <c r="B34" s="3" t="inlineStr">
        <is>
          <t>Carlos Pérez 33</t>
        </is>
      </c>
      <c r="C34" s="3" t="inlineStr">
        <is>
          <t>Desarrollador Senior</t>
        </is>
      </c>
      <c r="D34" s="4" t="n">
        <v>6742456</v>
      </c>
      <c r="E34" s="2" t="n">
        <v>23</v>
      </c>
      <c r="F34" s="2" t="n">
        <v>7</v>
      </c>
      <c r="G34" s="2" t="n">
        <v>94</v>
      </c>
      <c r="H34" s="2">
        <f>ROUND(E34*0.3 + F34*2.5 + G34*0.2 + (D34/500000), 0)</f>
        <v/>
      </c>
      <c r="I34" s="2">
        <f>IF(H34&gt;=36, "Alto (&gt;3 Años)", IF(H34&gt;=18, "Medio (1.5 - 3 Años)", "Bajo (&lt;1.5 Años)"))</f>
        <v/>
      </c>
    </row>
    <row r="35" ht="20" customHeight="1">
      <c r="A35" s="5" t="inlineStr">
        <is>
          <t>EMP-1034</t>
        </is>
      </c>
      <c r="B35" s="6" t="inlineStr">
        <is>
          <t>Ana María Gómez 34</t>
        </is>
      </c>
      <c r="C35" s="6" t="inlineStr">
        <is>
          <t>Especialista RRHH</t>
        </is>
      </c>
      <c r="D35" s="7" t="n">
        <v>2742245</v>
      </c>
      <c r="E35" s="5" t="n">
        <v>10</v>
      </c>
      <c r="F35" s="5" t="n">
        <v>6</v>
      </c>
      <c r="G35" s="5" t="n">
        <v>74</v>
      </c>
      <c r="H35" s="5">
        <f>ROUND(E35*0.3 + F35*2.5 + G35*0.2 + (D35/500000), 0)</f>
        <v/>
      </c>
      <c r="I35" s="5">
        <f>IF(H35&gt;=36, "Alto (&gt;3 Años)", IF(H35&gt;=18, "Medio (1.5 - 3 Años)", "Bajo (&lt;1.5 Años)"))</f>
        <v/>
      </c>
    </row>
    <row r="36" ht="20" customHeight="1">
      <c r="A36" s="2" t="inlineStr">
        <is>
          <t>EMP-1035</t>
        </is>
      </c>
      <c r="B36" s="3" t="inlineStr">
        <is>
          <t>Juan Esteban Roa 35</t>
        </is>
      </c>
      <c r="C36" s="3" t="inlineStr">
        <is>
          <t>Contador</t>
        </is>
      </c>
      <c r="D36" s="4" t="n">
        <v>4200820</v>
      </c>
      <c r="E36" s="2" t="n">
        <v>46</v>
      </c>
      <c r="F36" s="2" t="n">
        <v>6</v>
      </c>
      <c r="G36" s="2" t="n">
        <v>73</v>
      </c>
      <c r="H36" s="2">
        <f>ROUND(E36*0.3 + F36*2.5 + G36*0.2 + (D36/500000), 0)</f>
        <v/>
      </c>
      <c r="I36" s="2">
        <f>IF(H36&gt;=36, "Alto (&gt;3 Años)", IF(H36&gt;=18, "Medio (1.5 - 3 Años)", "Bajo (&lt;1.5 Años)"))</f>
        <v/>
      </c>
    </row>
    <row r="37" ht="20" customHeight="1">
      <c r="A37" s="5" t="inlineStr">
        <is>
          <t>EMP-1036</t>
        </is>
      </c>
      <c r="B37" s="6" t="inlineStr">
        <is>
          <t>Laura Sofía Torres 36</t>
        </is>
      </c>
      <c r="C37" s="6" t="inlineStr">
        <is>
          <t>Ejecutivo de Ventas</t>
        </is>
      </c>
      <c r="D37" s="7" t="n">
        <v>2233674</v>
      </c>
      <c r="E37" s="5" t="n">
        <v>28</v>
      </c>
      <c r="F37" s="5" t="n">
        <v>8</v>
      </c>
      <c r="G37" s="5" t="n">
        <v>81</v>
      </c>
      <c r="H37" s="5">
        <f>ROUND(E37*0.3 + F37*2.5 + G37*0.2 + (D37/500000), 0)</f>
        <v/>
      </c>
      <c r="I37" s="5">
        <f>IF(H37&gt;=36, "Alto (&gt;3 Años)", IF(H37&gt;=18, "Medio (1.5 - 3 Años)", "Bajo (&lt;1.5 Años)"))</f>
        <v/>
      </c>
    </row>
    <row r="38" ht="20" customHeight="1">
      <c r="A38" s="2" t="inlineStr">
        <is>
          <t>EMP-1037</t>
        </is>
      </c>
      <c r="B38" s="3" t="inlineStr">
        <is>
          <t>Andrés Felipe Martínez 37</t>
        </is>
      </c>
      <c r="C38" s="3" t="inlineStr">
        <is>
          <t>Gerente de Proyecto</t>
        </is>
      </c>
      <c r="D38" s="4" t="n">
        <v>7584484</v>
      </c>
      <c r="E38" s="2" t="n">
        <v>31</v>
      </c>
      <c r="F38" s="2" t="n">
        <v>8</v>
      </c>
      <c r="G38" s="2" t="n">
        <v>63</v>
      </c>
      <c r="H38" s="2">
        <f>ROUND(E38*0.3 + F38*2.5 + G38*0.2 + (D38/500000), 0)</f>
        <v/>
      </c>
      <c r="I38" s="2">
        <f>IF(H38&gt;=36, "Alto (&gt;3 Años)", IF(H38&gt;=18, "Medio (1.5 - 3 Años)", "Bajo (&lt;1.5 Años)"))</f>
        <v/>
      </c>
    </row>
    <row r="39" ht="20" customHeight="1">
      <c r="A39" s="5" t="inlineStr">
        <is>
          <t>EMP-1038</t>
        </is>
      </c>
      <c r="B39" s="6" t="inlineStr">
        <is>
          <t>María Fernanda Díaz 38</t>
        </is>
      </c>
      <c r="C39" s="6" t="inlineStr">
        <is>
          <t>Auxiliar Administrativo</t>
        </is>
      </c>
      <c r="D39" s="7" t="n">
        <v>1508440</v>
      </c>
      <c r="E39" s="5" t="n">
        <v>55</v>
      </c>
      <c r="F39" s="5" t="n">
        <v>8</v>
      </c>
      <c r="G39" s="5" t="n">
        <v>84</v>
      </c>
      <c r="H39" s="5">
        <f>ROUND(E39*0.3 + F39*2.5 + G39*0.2 + (D39/500000), 0)</f>
        <v/>
      </c>
      <c r="I39" s="5">
        <f>IF(H39&gt;=36, "Alto (&gt;3 Años)", IF(H39&gt;=18, "Medio (1.5 - 3 Años)", "Bajo (&lt;1.5 Años)"))</f>
        <v/>
      </c>
    </row>
    <row r="40" ht="20" customHeight="1">
      <c r="A40" s="2" t="inlineStr">
        <is>
          <t>EMP-1039</t>
        </is>
      </c>
      <c r="B40" s="3" t="inlineStr">
        <is>
          <t>David Santiago Vargas 39</t>
        </is>
      </c>
      <c r="C40" s="3" t="inlineStr">
        <is>
          <t>Diseñador UX/UI</t>
        </is>
      </c>
      <c r="D40" s="4" t="n">
        <v>4074395</v>
      </c>
      <c r="E40" s="2" t="n">
        <v>51</v>
      </c>
      <c r="F40" s="2" t="n">
        <v>9</v>
      </c>
      <c r="G40" s="2" t="n">
        <v>61</v>
      </c>
      <c r="H40" s="2">
        <f>ROUND(E40*0.3 + F40*2.5 + G40*0.2 + (D40/500000), 0)</f>
        <v/>
      </c>
      <c r="I40" s="2">
        <f>IF(H40&gt;=36, "Alto (&gt;3 Años)", IF(H40&gt;=18, "Medio (1.5 - 3 Años)", "Bajo (&lt;1.5 Años)"))</f>
        <v/>
      </c>
    </row>
    <row r="41" ht="20" customHeight="1">
      <c r="A41" s="5" t="inlineStr">
        <is>
          <t>EMP-1040</t>
        </is>
      </c>
      <c r="B41" s="6" t="inlineStr">
        <is>
          <t>Valentina Morales 40</t>
        </is>
      </c>
      <c r="C41" s="6" t="inlineStr">
        <is>
          <t>DevOps Engineer</t>
        </is>
      </c>
      <c r="D41" s="7" t="n">
        <v>6449174</v>
      </c>
      <c r="E41" s="5" t="n">
        <v>58</v>
      </c>
      <c r="F41" s="5" t="n">
        <v>9</v>
      </c>
      <c r="G41" s="5" t="n">
        <v>84</v>
      </c>
      <c r="H41" s="5">
        <f>ROUND(E41*0.3 + F41*2.5 + G41*0.2 + (D41/500000), 0)</f>
        <v/>
      </c>
      <c r="I41" s="5">
        <f>IF(H41&gt;=36, "Alto (&gt;3 Años)", IF(H41&gt;=18, "Medio (1.5 - 3 Años)", "Bajo (&lt;1.5 Años)"))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2026-09-08T14:42:24Z</dcterms:created>
  <dcterms:modified xmlns:dcterms="http://purl.org/dc/terms/" xmlns:xsi="http://www.w3.org/2001/XMLSchema-instance" xsi:type="dcterms:W3CDTF">2026-09-08T14:42:24Z</dcterms:modified>
</cp:coreProperties>
</file>